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Raw_Sales" sheetId="2" state="visible" r:id="rId2"/>
    <sheet xmlns:r="http://schemas.openxmlformats.org/officeDocument/2006/relationships" name="02_Basic_Formulas" sheetId="3" state="visible" r:id="rId3"/>
    <sheet xmlns:r="http://schemas.openxmlformats.org/officeDocument/2006/relationships" name="03_IF_Logic" sheetId="4" state="visible" r:id="rId4"/>
    <sheet xmlns:r="http://schemas.openxmlformats.org/officeDocument/2006/relationships" name="04_SUMIF_COUNTIF" sheetId="5" state="visible" r:id="rId5"/>
    <sheet xmlns:r="http://schemas.openxmlformats.org/officeDocument/2006/relationships" name="05_SUMIFS_COUNTIFS" sheetId="6" state="visible" r:id="rId6"/>
    <sheet xmlns:r="http://schemas.openxmlformats.org/officeDocument/2006/relationships" name="06_XLOOKUP" sheetId="7" state="visible" r:id="rId7"/>
    <sheet xmlns:r="http://schemas.openxmlformats.org/officeDocument/2006/relationships" name="07_Data_Cleaning" sheetId="8" state="visible" r:id="rId8"/>
    <sheet xmlns:r="http://schemas.openxmlformats.org/officeDocument/2006/relationships" name="08_Dates" sheetId="9" state="visible" r:id="rId9"/>
    <sheet xmlns:r="http://schemas.openxmlformats.org/officeDocument/2006/relationships" name="09_Pivot_Data" sheetId="10" state="visible" r:id="rId10"/>
    <sheet xmlns:r="http://schemas.openxmlformats.org/officeDocument/2006/relationships" name="10_Dashboard" sheetId="11" state="visible" r:id="rId11"/>
    <sheet xmlns:r="http://schemas.openxmlformats.org/officeDocument/2006/relationships" name="11_Power_Query_Guide" sheetId="12" state="visible" r:id="rId12"/>
    <sheet xmlns:r="http://schemas.openxmlformats.org/officeDocument/2006/relationships" name="12_Practice_Ques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'10_Dashboard'!$D$4:$D$6</f>
            </numRef>
          </cat>
          <val>
            <numRef>
              <f>'10_Dashboard'!$E$4:$E$6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H11" headerRowCount="1">
  <autoFilter ref="A1:H11"/>
  <tableColumns count="8">
    <tableColumn id="1" name="Order ID"/>
    <tableColumn id="2" name="Date"/>
    <tableColumn id="3" name="Customer"/>
    <tableColumn id="4" name="Product ID"/>
    <tableColumn id="5" name="Product"/>
    <tableColumn id="6" name="City"/>
    <tableColumn id="7" name="Sales"/>
    <tableColumn id="8" name="Profit"/>
  </tableColumns>
  <tableStyleInfo name="TableStyleMedium2" showRowStripes="1"/>
</table>
</file>

<file path=xl/tables/table2.xml><?xml version="1.0" encoding="utf-8"?>
<table xmlns="http://schemas.openxmlformats.org/spreadsheetml/2006/main" id="2" name="EmployeeData" displayName="EmployeeData" ref="A1:D7" headerRowCount="1">
  <autoFilter ref="A1:D7"/>
  <tableColumns count="4">
    <tableColumn id="1" name="Employee"/>
    <tableColumn id="2" name="Department"/>
    <tableColumn id="3" name="Salary"/>
    <tableColumn id="4" name="Experi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Excel Practice — Phase 1: Data Analytics</t>
        </is>
      </c>
      <c r="B1" s="2" t="n"/>
    </row>
    <row r="2">
      <c r="A2" s="2" t="n"/>
      <c r="B2" s="2" t="n"/>
    </row>
    <row r="3">
      <c r="A3" s="3" t="inlineStr">
        <is>
          <t>Purpose</t>
        </is>
      </c>
      <c r="B3" s="2" t="inlineStr">
        <is>
          <t>Practice Excel fundamentals, formulas, data cleaning, dates, Pivot Tables, charts, slicers concepts, and Power Query concepts.</t>
        </is>
      </c>
    </row>
    <row r="4">
      <c r="A4" s="2" t="n"/>
      <c r="B4" s="2" t="n"/>
    </row>
    <row r="5">
      <c r="A5" s="3" t="inlineStr">
        <is>
          <t>Sheets</t>
        </is>
      </c>
      <c r="B5" s="2" t="n"/>
    </row>
    <row r="6">
      <c r="A6" s="2" t="inlineStr">
        <is>
          <t>01_Raw_Sales</t>
        </is>
      </c>
      <c r="B6" s="2" t="inlineStr">
        <is>
          <t>Raw e-commerce dataset</t>
        </is>
      </c>
    </row>
    <row r="7">
      <c r="A7" s="2" t="inlineStr">
        <is>
          <t>02_Basic_Formulas</t>
        </is>
      </c>
      <c r="B7" s="2" t="inlineStr">
        <is>
          <t>SUM, AVERAGE, COUNT, COUNTA, MIN, MAX</t>
        </is>
      </c>
    </row>
    <row r="8">
      <c r="A8" s="2" t="inlineStr">
        <is>
          <t>03_IF_Logic</t>
        </is>
      </c>
      <c r="B8" s="2" t="inlineStr">
        <is>
          <t>IF-based classification</t>
        </is>
      </c>
    </row>
    <row r="9">
      <c r="A9" s="2" t="inlineStr">
        <is>
          <t>04_SUMIF_COUNTIF</t>
        </is>
      </c>
      <c r="B9" s="2" t="inlineStr">
        <is>
          <t>Conditional aggregation</t>
        </is>
      </c>
    </row>
    <row r="10">
      <c r="A10" s="2" t="inlineStr">
        <is>
          <t>05_SUMIFS_COUNTIFS</t>
        </is>
      </c>
      <c r="B10" s="2" t="inlineStr">
        <is>
          <t>Multiple-condition analysis</t>
        </is>
      </c>
    </row>
    <row r="11">
      <c r="A11" s="2" t="inlineStr">
        <is>
          <t>06_XLOOKUP</t>
        </is>
      </c>
      <c r="B11" s="2" t="inlineStr">
        <is>
          <t>Product lookup example</t>
        </is>
      </c>
    </row>
    <row r="12">
      <c r="A12" s="2" t="inlineStr">
        <is>
          <t>07_Data_Cleaning</t>
        </is>
      </c>
      <c r="B12" s="2" t="inlineStr">
        <is>
          <t>TRIM, CLEAN, UPPER, LOWER, PROPER, duplicates</t>
        </is>
      </c>
    </row>
    <row r="13">
      <c r="A13" s="2" t="inlineStr">
        <is>
          <t>08_Dates</t>
        </is>
      </c>
      <c r="B13" s="2" t="inlineStr">
        <is>
          <t>YEAR, MONTH, DAY and monthly analysis</t>
        </is>
      </c>
    </row>
    <row r="14">
      <c r="A14" s="2" t="inlineStr">
        <is>
          <t>09_Pivot_Data</t>
        </is>
      </c>
      <c r="B14" s="2" t="inlineStr">
        <is>
          <t>Pivot-ready employee dataset</t>
        </is>
      </c>
    </row>
    <row r="15">
      <c r="A15" s="2" t="inlineStr">
        <is>
          <t>10_Dashboard</t>
        </is>
      </c>
      <c r="B15" s="2" t="inlineStr">
        <is>
          <t>KPI summary and chart</t>
        </is>
      </c>
    </row>
    <row r="16">
      <c r="A16" s="2" t="inlineStr">
        <is>
          <t>11_Power_Query_Guide</t>
        </is>
      </c>
      <c r="B16" s="2" t="inlineStr">
        <is>
          <t>Power Query workflow guide</t>
        </is>
      </c>
    </row>
    <row r="17">
      <c r="A17" s="2" t="inlineStr">
        <is>
          <t>12_Practice_Questions</t>
        </is>
      </c>
      <c r="B17" s="2" t="inlineStr">
        <is>
          <t>Exercises to solve independently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Order ID</t>
        </is>
      </c>
      <c r="B1" s="4" t="inlineStr">
        <is>
          <t>Date</t>
        </is>
      </c>
      <c r="C1" s="4" t="inlineStr">
        <is>
          <t>Customer</t>
        </is>
      </c>
      <c r="D1" s="4" t="inlineStr">
        <is>
          <t>Product ID</t>
        </is>
      </c>
      <c r="E1" s="4" t="inlineStr">
        <is>
          <t>Product</t>
        </is>
      </c>
      <c r="F1" s="4" t="inlineStr">
        <is>
          <t>City</t>
        </is>
      </c>
      <c r="G1" s="4" t="inlineStr">
        <is>
          <t>Sales</t>
        </is>
      </c>
      <c r="H1" s="4" t="inlineStr">
        <is>
          <t>Profit</t>
        </is>
      </c>
    </row>
    <row r="2">
      <c r="A2" s="2" t="n">
        <v>1001</v>
      </c>
      <c r="B2" s="5" t="inlineStr">
        <is>
          <t>2026-01-03</t>
        </is>
      </c>
      <c r="C2" s="2" t="inlineStr">
        <is>
          <t>Ali</t>
        </is>
      </c>
      <c r="D2" s="2" t="inlineStr">
        <is>
          <t>P01</t>
        </is>
      </c>
      <c r="E2" s="2" t="inlineStr">
        <is>
          <t>Laptop</t>
        </is>
      </c>
      <c r="F2" s="2" t="inlineStr">
        <is>
          <t>Lahore</t>
        </is>
      </c>
      <c r="G2" s="6" t="n">
        <v>120000</v>
      </c>
      <c r="H2" s="6" t="n">
        <v>15000</v>
      </c>
    </row>
    <row r="3">
      <c r="A3" s="2" t="n">
        <v>1002</v>
      </c>
      <c r="B3" s="5" t="inlineStr">
        <is>
          <t>2026-01-08</t>
        </is>
      </c>
      <c r="C3" s="2" t="inlineStr">
        <is>
          <t>Sara</t>
        </is>
      </c>
      <c r="D3" s="2" t="inlineStr">
        <is>
          <t>P02</t>
        </is>
      </c>
      <c r="E3" s="2" t="inlineStr">
        <is>
          <t>Mouse</t>
        </is>
      </c>
      <c r="F3" s="2" t="inlineStr">
        <is>
          <t>Karachi</t>
        </is>
      </c>
      <c r="G3" s="6" t="n">
        <v>5000</v>
      </c>
      <c r="H3" s="6" t="n">
        <v>1200</v>
      </c>
    </row>
    <row r="4">
      <c r="A4" s="2" t="n">
        <v>1003</v>
      </c>
      <c r="B4" s="5" t="inlineStr">
        <is>
          <t>2026-01-15</t>
        </is>
      </c>
      <c r="C4" s="2" t="inlineStr">
        <is>
          <t>Ahmed</t>
        </is>
      </c>
      <c r="D4" s="2" t="inlineStr">
        <is>
          <t>P01</t>
        </is>
      </c>
      <c r="E4" s="2" t="inlineStr">
        <is>
          <t>Laptop</t>
        </is>
      </c>
      <c r="F4" s="2" t="inlineStr">
        <is>
          <t>Lahore</t>
        </is>
      </c>
      <c r="G4" s="6" t="n">
        <v>110000</v>
      </c>
      <c r="H4" s="6" t="n">
        <v>13000</v>
      </c>
    </row>
    <row r="5">
      <c r="A5" s="2" t="n">
        <v>1004</v>
      </c>
      <c r="B5" s="5" t="inlineStr">
        <is>
          <t>2026-02-02</t>
        </is>
      </c>
      <c r="C5" s="2" t="inlineStr">
        <is>
          <t>Ayesha</t>
        </is>
      </c>
      <c r="D5" s="2" t="inlineStr">
        <is>
          <t>P03</t>
        </is>
      </c>
      <c r="E5" s="2" t="inlineStr">
        <is>
          <t>Keyboard</t>
        </is>
      </c>
      <c r="F5" s="2" t="inlineStr">
        <is>
          <t>Islamabad</t>
        </is>
      </c>
      <c r="G5" s="6" t="n">
        <v>8000</v>
      </c>
      <c r="H5" s="6" t="n">
        <v>2000</v>
      </c>
    </row>
    <row r="6">
      <c r="A6" s="2" t="n">
        <v>1005</v>
      </c>
      <c r="B6" s="5" t="inlineStr">
        <is>
          <t>2026-02-11</t>
        </is>
      </c>
      <c r="C6" s="2" t="inlineStr">
        <is>
          <t>Hamza</t>
        </is>
      </c>
      <c r="D6" s="2" t="inlineStr">
        <is>
          <t>P02</t>
        </is>
      </c>
      <c r="E6" s="2" t="inlineStr">
        <is>
          <t>Mouse</t>
        </is>
      </c>
      <c r="F6" s="2" t="inlineStr">
        <is>
          <t>Lahore</t>
        </is>
      </c>
      <c r="G6" s="6" t="n">
        <v>6000</v>
      </c>
      <c r="H6" s="6" t="n">
        <v>1500</v>
      </c>
    </row>
    <row r="7">
      <c r="A7" s="2" t="n">
        <v>1006</v>
      </c>
      <c r="B7" s="5" t="inlineStr">
        <is>
          <t>2026-02-19</t>
        </is>
      </c>
      <c r="C7" s="2" t="inlineStr">
        <is>
          <t>Zainab</t>
        </is>
      </c>
      <c r="D7" s="2" t="inlineStr">
        <is>
          <t>P04</t>
        </is>
      </c>
      <c r="E7" s="2" t="inlineStr">
        <is>
          <t>Monitor</t>
        </is>
      </c>
      <c r="F7" s="2" t="inlineStr">
        <is>
          <t>Karachi</t>
        </is>
      </c>
      <c r="G7" s="6" t="n">
        <v>45000</v>
      </c>
      <c r="H7" s="6" t="n">
        <v>7000</v>
      </c>
    </row>
    <row r="8">
      <c r="A8" s="2" t="n">
        <v>1007</v>
      </c>
      <c r="B8" s="5" t="inlineStr">
        <is>
          <t>2026-03-04</t>
        </is>
      </c>
      <c r="C8" s="2" t="inlineStr">
        <is>
          <t>Bilal</t>
        </is>
      </c>
      <c r="D8" s="2" t="inlineStr">
        <is>
          <t>P03</t>
        </is>
      </c>
      <c r="E8" s="2" t="inlineStr">
        <is>
          <t>Keyboard</t>
        </is>
      </c>
      <c r="F8" s="2" t="inlineStr">
        <is>
          <t>Lahore</t>
        </is>
      </c>
      <c r="G8" s="6" t="n">
        <v>9000</v>
      </c>
      <c r="H8" s="6" t="n">
        <v>2200</v>
      </c>
    </row>
    <row r="9">
      <c r="A9" s="2" t="n">
        <v>1008</v>
      </c>
      <c r="B9" s="5" t="inlineStr">
        <is>
          <t>2026-03-12</t>
        </is>
      </c>
      <c r="C9" s="2" t="inlineStr">
        <is>
          <t>Hina</t>
        </is>
      </c>
      <c r="D9" s="2" t="inlineStr">
        <is>
          <t>P04</t>
        </is>
      </c>
      <c r="E9" s="2" t="inlineStr">
        <is>
          <t>Monitor</t>
        </is>
      </c>
      <c r="F9" s="2" t="inlineStr">
        <is>
          <t>Islamabad</t>
        </is>
      </c>
      <c r="G9" s="6" t="n">
        <v>50000</v>
      </c>
      <c r="H9" s="6" t="n">
        <v>8500</v>
      </c>
    </row>
    <row r="10">
      <c r="A10" s="2" t="n">
        <v>1009</v>
      </c>
      <c r="B10" s="5" t="inlineStr">
        <is>
          <t>2026-03-20</t>
        </is>
      </c>
      <c r="C10" s="2" t="inlineStr">
        <is>
          <t>Usman</t>
        </is>
      </c>
      <c r="D10" s="2" t="inlineStr">
        <is>
          <t>P01</t>
        </is>
      </c>
      <c r="E10" s="2" t="inlineStr">
        <is>
          <t>Laptop</t>
        </is>
      </c>
      <c r="F10" s="2" t="inlineStr">
        <is>
          <t>Karachi</t>
        </is>
      </c>
      <c r="G10" s="6" t="n">
        <v>125000</v>
      </c>
      <c r="H10" s="6" t="n">
        <v>16000</v>
      </c>
    </row>
    <row r="11">
      <c r="A11" s="2" t="n">
        <v>1010</v>
      </c>
      <c r="B11" s="5" t="inlineStr">
        <is>
          <t>2026-04-05</t>
        </is>
      </c>
      <c r="C11" s="2" t="inlineStr">
        <is>
          <t>Maham</t>
        </is>
      </c>
      <c r="D11" s="2" t="inlineStr">
        <is>
          <t>P02</t>
        </is>
      </c>
      <c r="E11" s="2" t="inlineStr">
        <is>
          <t>Mouse</t>
        </is>
      </c>
      <c r="F11" s="2" t="inlineStr">
        <is>
          <t>Lahore</t>
        </is>
      </c>
      <c r="G11" s="6" t="n">
        <v>7000</v>
      </c>
      <c r="H11" s="6" t="n">
        <v>1700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</cols>
  <sheetData>
    <row r="1">
      <c r="A1" s="4" t="inlineStr">
        <is>
          <t>Metric</t>
        </is>
      </c>
      <c r="B1" s="4" t="inlineStr">
        <is>
          <t>Formula</t>
        </is>
      </c>
      <c r="C1" s="4" t="inlineStr">
        <is>
          <t>Result</t>
        </is>
      </c>
    </row>
    <row r="2">
      <c r="A2" s="2" t="inlineStr">
        <is>
          <t>Total Sales</t>
        </is>
      </c>
      <c r="B2" s="2">
        <f>SUM('01_Raw_Sales'!G2:G11)</f>
        <v/>
      </c>
      <c r="C2" s="2">
        <f>SUM('01_Raw_Sales'!G2:G11)</f>
        <v/>
      </c>
    </row>
    <row r="3">
      <c r="A3" s="2" t="inlineStr">
        <is>
          <t>Average Sales</t>
        </is>
      </c>
      <c r="B3" s="2">
        <f>AVERAGE('01_Raw_Sales'!G2:G11)</f>
        <v/>
      </c>
      <c r="C3" s="2">
        <f>AVERAGE('01_Raw_Sales'!G2:G11)</f>
        <v/>
      </c>
    </row>
    <row r="4">
      <c r="A4" s="2" t="inlineStr">
        <is>
          <t>Order Count</t>
        </is>
      </c>
      <c r="B4" s="2">
        <f>COUNT('01_Raw_Sales'!G2:G11)</f>
        <v/>
      </c>
      <c r="C4" s="2">
        <f>COUNT('01_Raw_Sales'!G2:G11)</f>
        <v/>
      </c>
    </row>
    <row r="5">
      <c r="A5" s="2" t="inlineStr">
        <is>
          <t>Customer Count (non-empty)</t>
        </is>
      </c>
      <c r="B5" s="2">
        <f>COUNTA('01_Raw_Sales'!C2:C11)</f>
        <v/>
      </c>
      <c r="C5" s="2">
        <f>COUNTA('01_Raw_Sales'!C2:C11)</f>
        <v/>
      </c>
    </row>
    <row r="6">
      <c r="A6" s="2" t="inlineStr">
        <is>
          <t>Minimum Sale</t>
        </is>
      </c>
      <c r="B6" s="2">
        <f>MIN('01_Raw_Sales'!G2:G11)</f>
        <v/>
      </c>
      <c r="C6" s="2">
        <f>MIN('01_Raw_Sales'!G2:G11)</f>
        <v/>
      </c>
    </row>
    <row r="7">
      <c r="A7" s="2" t="inlineStr">
        <is>
          <t>Maximum Sale</t>
        </is>
      </c>
      <c r="B7" s="2">
        <f>MAX('01_Raw_Sales'!G2:G11)</f>
        <v/>
      </c>
      <c r="C7" s="2">
        <f>MAX('01_Raw_Sales'!G2:G11)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8" customWidth="1" min="3" max="3"/>
    <col width="15" customWidth="1" min="4" max="4"/>
  </cols>
  <sheetData>
    <row r="1">
      <c r="A1" s="4" t="inlineStr">
        <is>
          <t>Customer</t>
        </is>
      </c>
      <c r="B1" s="4" t="inlineStr">
        <is>
          <t>Experience (Years)</t>
        </is>
      </c>
      <c r="C1" s="4" t="inlineStr">
        <is>
          <t>Level Formula</t>
        </is>
      </c>
      <c r="D1" s="4" t="inlineStr">
        <is>
          <t>Level</t>
        </is>
      </c>
    </row>
    <row r="2">
      <c r="A2" s="2" t="inlineStr">
        <is>
          <t>Ali</t>
        </is>
      </c>
      <c r="B2" s="2" t="n">
        <v>2</v>
      </c>
      <c r="C2" s="2">
        <f>IF(B2&gt;=4,"Senior","Junior")</f>
        <v/>
      </c>
      <c r="D2" s="2">
        <f>IF(B2&gt;=4,"Senior","Junior")</f>
        <v/>
      </c>
    </row>
    <row r="3">
      <c r="A3" s="2" t="inlineStr">
        <is>
          <t>Sara</t>
        </is>
      </c>
      <c r="B3" s="2" t="n">
        <v>3</v>
      </c>
      <c r="C3" s="2">
        <f>IF(B3&gt;=4,"Senior","Junior")</f>
        <v/>
      </c>
      <c r="D3" s="2">
        <f>IF(B3&gt;=4,"Senior","Junior")</f>
        <v/>
      </c>
    </row>
    <row r="4">
      <c r="A4" s="2" t="inlineStr">
        <is>
          <t>Ahmed</t>
        </is>
      </c>
      <c r="B4" s="2" t="n">
        <v>5</v>
      </c>
      <c r="C4" s="2">
        <f>IF(B4&gt;=4,"Senior","Junior")</f>
        <v/>
      </c>
      <c r="D4" s="2">
        <f>IF(B4&gt;=4,"Senior","Junior")</f>
        <v/>
      </c>
    </row>
    <row r="5">
      <c r="A5" s="2" t="inlineStr">
        <is>
          <t>Ayesha</t>
        </is>
      </c>
      <c r="B5" s="2" t="n">
        <v>4</v>
      </c>
      <c r="C5" s="2">
        <f>IF(B5&gt;=4,"Senior","Junior")</f>
        <v/>
      </c>
      <c r="D5" s="2">
        <f>IF(B5&gt;=4,"Senior","Junior")</f>
        <v/>
      </c>
    </row>
    <row r="6">
      <c r="A6" s="2" t="inlineStr">
        <is>
          <t>Hamza</t>
        </is>
      </c>
      <c r="B6" s="2" t="n">
        <v>3</v>
      </c>
      <c r="C6" s="2">
        <f>IF(B6&gt;=4,"Senior","Junior")</f>
        <v/>
      </c>
      <c r="D6" s="2">
        <f>IF(B6&gt;=4,"Senior","Junior")</f>
        <v/>
      </c>
    </row>
    <row r="7">
      <c r="A7" s="2" t="inlineStr">
        <is>
          <t>Zainab</t>
        </is>
      </c>
      <c r="B7" s="2" t="n">
        <v>2</v>
      </c>
      <c r="C7" s="2">
        <f>IF(B7&gt;=4,"Senior","Junior")</f>
        <v/>
      </c>
      <c r="D7" s="2">
        <f>IF(B7&gt;=4,"Senior","Junior")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0" customWidth="1" min="3" max="3"/>
  </cols>
  <sheetData>
    <row r="1">
      <c r="A1" s="4" t="inlineStr">
        <is>
          <t>Question</t>
        </is>
      </c>
      <c r="B1" s="4" t="inlineStr">
        <is>
          <t>Formula</t>
        </is>
      </c>
      <c r="C1" s="4" t="inlineStr">
        <is>
          <t>Result</t>
        </is>
      </c>
    </row>
    <row r="2">
      <c r="A2" s="2" t="inlineStr">
        <is>
          <t>Lahore total sales</t>
        </is>
      </c>
      <c r="B2" s="2">
        <f>SUMIF('01_Raw_Sales'!F2:F11,"Lahore",'01_Raw_Sales'!G2:G11)</f>
        <v/>
      </c>
      <c r="C2" s="2">
        <f>SUMIF('01_Raw_Sales'!F2:F11,"Lahore",'01_Raw_Sales'!G2:G11)</f>
        <v/>
      </c>
    </row>
    <row r="3">
      <c r="A3" s="2" t="inlineStr">
        <is>
          <t>Lahore order count</t>
        </is>
      </c>
      <c r="B3" s="2">
        <f>COUNTIF('01_Raw_Sales'!F2:F11,"Lahore")</f>
        <v/>
      </c>
      <c r="C3" s="2">
        <f>COUNTIF('01_Raw_Sales'!F2:F11,"Lahore")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  <col width="20" customWidth="1" min="3" max="3"/>
  </cols>
  <sheetData>
    <row r="1">
      <c r="A1" s="4" t="inlineStr">
        <is>
          <t>Question</t>
        </is>
      </c>
      <c r="B1" s="4" t="inlineStr">
        <is>
          <t>Formula</t>
        </is>
      </c>
      <c r="C1" s="4" t="inlineStr">
        <is>
          <t>Result</t>
        </is>
      </c>
    </row>
    <row r="2">
      <c r="A2" s="2" t="inlineStr">
        <is>
          <t>Lahore Laptop sales</t>
        </is>
      </c>
      <c r="B2" s="2">
        <f>SUMIFS('01_Raw_Sales'!G2:G11,'01_Raw_Sales'!F2:F11,"Lahore",'01_Raw_Sales'!E2:E11,"Laptop")</f>
        <v/>
      </c>
      <c r="C2" s="2">
        <f>SUMIFS('01_Raw_Sales'!G2:G11,'01_Raw_Sales'!F2:F11,"Lahore",'01_Raw_Sales'!E2:E11,"Laptop")</f>
        <v/>
      </c>
    </row>
    <row r="3">
      <c r="A3" s="2" t="inlineStr">
        <is>
          <t>Karachi Mouse order count</t>
        </is>
      </c>
      <c r="B3" s="2">
        <f>COUNTIFS('01_Raw_Sales'!F2:F11,"Karachi",'01_Raw_Sales'!E2:E11,"Mouse")</f>
        <v/>
      </c>
      <c r="C3" s="2">
        <f>COUNTIFS('01_Raw_Sales'!F2:F11,"Karachi",'01_Raw_Sales'!E2:E11,"Mouse")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4" customWidth="1" min="4" max="4"/>
    <col width="20" customWidth="1" min="5" max="5"/>
    <col width="50" customWidth="1" min="6" max="6"/>
    <col width="20" customWidth="1" min="7" max="7"/>
  </cols>
  <sheetData>
    <row r="1">
      <c r="A1" s="4" t="inlineStr">
        <is>
          <t>Product ID</t>
        </is>
      </c>
      <c r="B1" s="4" t="inlineStr">
        <is>
          <t>Product</t>
        </is>
      </c>
      <c r="C1" s="4" t="inlineStr">
        <is>
          <t>Price</t>
        </is>
      </c>
      <c r="D1" s="4" t="n"/>
      <c r="E1" s="4" t="inlineStr">
        <is>
          <t>Order Product ID</t>
        </is>
      </c>
      <c r="F1" s="4" t="inlineStr">
        <is>
          <t>XLOOKUP Formula</t>
        </is>
      </c>
      <c r="G1" s="4" t="inlineStr">
        <is>
          <t>Returned Product</t>
        </is>
      </c>
    </row>
    <row r="2">
      <c r="A2" s="2" t="inlineStr">
        <is>
          <t>P01</t>
        </is>
      </c>
      <c r="B2" s="2" t="inlineStr">
        <is>
          <t>Laptop</t>
        </is>
      </c>
      <c r="C2" s="2" t="n">
        <v>120000</v>
      </c>
      <c r="D2" s="2" t="n"/>
      <c r="E2" s="2" t="inlineStr">
        <is>
          <t>P01</t>
        </is>
      </c>
      <c r="F2" s="2">
        <f>XLOOKUP(E2,A2:A5,B2:B5,"Not Found")</f>
        <v/>
      </c>
      <c r="G2" s="2">
        <f>XLOOKUP(E2,A2:A5,B2:B5,"Not Found")</f>
        <v/>
      </c>
    </row>
    <row r="3">
      <c r="A3" s="2" t="inlineStr">
        <is>
          <t>P02</t>
        </is>
      </c>
      <c r="B3" s="2" t="inlineStr">
        <is>
          <t>Mouse</t>
        </is>
      </c>
      <c r="C3" s="2" t="n">
        <v>5000</v>
      </c>
      <c r="D3" s="2" t="n"/>
      <c r="E3" s="2" t="inlineStr">
        <is>
          <t>P02</t>
        </is>
      </c>
      <c r="F3" s="2">
        <f>XLOOKUP(E3,A2:A5,B2:B5,"Not Found")</f>
        <v/>
      </c>
      <c r="G3" s="2">
        <f>XLOOKUP(E3,A2:A5,B2:B5,"Not Found")</f>
        <v/>
      </c>
    </row>
    <row r="4">
      <c r="A4" s="2" t="inlineStr">
        <is>
          <t>P03</t>
        </is>
      </c>
      <c r="B4" s="2" t="inlineStr">
        <is>
          <t>Keyboard</t>
        </is>
      </c>
      <c r="C4" s="2" t="n">
        <v>8000</v>
      </c>
      <c r="D4" s="2" t="n"/>
      <c r="E4" s="2" t="n"/>
      <c r="F4" s="2" t="n"/>
      <c r="G4" s="2" t="n"/>
    </row>
    <row r="5">
      <c r="A5" s="2" t="inlineStr">
        <is>
          <t>P04</t>
        </is>
      </c>
      <c r="B5" s="2" t="inlineStr">
        <is>
          <t>Monitor</t>
        </is>
      </c>
      <c r="C5" s="2" t="n">
        <v>45000</v>
      </c>
      <c r="D5" s="2" t="n"/>
      <c r="E5" s="2" t="n"/>
      <c r="F5" s="2" t="n"/>
      <c r="G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" customWidth="1" min="6" max="6"/>
    <col width="30" customWidth="1" min="7" max="7"/>
  </cols>
  <sheetData>
    <row r="1">
      <c r="A1" s="4" t="inlineStr">
        <is>
          <t>Raw City</t>
        </is>
      </c>
      <c r="B1" s="4" t="inlineStr">
        <is>
          <t>TRIM</t>
        </is>
      </c>
      <c r="C1" s="4" t="inlineStr">
        <is>
          <t>UPPER</t>
        </is>
      </c>
      <c r="D1" s="4" t="inlineStr">
        <is>
          <t>LOWER</t>
        </is>
      </c>
      <c r="E1" s="4" t="inlineStr">
        <is>
          <t>PROPER</t>
        </is>
      </c>
      <c r="F1" s="4" t="n"/>
      <c r="G1" s="4" t="inlineStr">
        <is>
          <t>Cleaning Checklist</t>
        </is>
      </c>
    </row>
    <row r="2">
      <c r="A2" s="2" t="inlineStr">
        <is>
          <t xml:space="preserve"> Lahore </t>
        </is>
      </c>
      <c r="B2" s="2">
        <f>TRIM(A2)</f>
        <v/>
      </c>
      <c r="C2" s="2">
        <f>UPPER(A2)</f>
        <v/>
      </c>
      <c r="D2" s="2">
        <f>LOWER(A2)</f>
        <v/>
      </c>
      <c r="E2" s="2">
        <f>PROPER(A2)</f>
        <v/>
      </c>
      <c r="F2" s="2" t="n"/>
      <c r="G2" s="2" t="inlineStr">
        <is>
          <t>Remove duplicates</t>
        </is>
      </c>
    </row>
    <row r="3">
      <c r="A3" s="2" t="inlineStr">
        <is>
          <t>lahore</t>
        </is>
      </c>
      <c r="B3" s="2">
        <f>TRIM(A3)</f>
        <v/>
      </c>
      <c r="C3" s="2">
        <f>UPPER(A3)</f>
        <v/>
      </c>
      <c r="D3" s="2">
        <f>LOWER(A3)</f>
        <v/>
      </c>
      <c r="E3" s="2">
        <f>PROPER(A3)</f>
        <v/>
      </c>
      <c r="F3" s="2" t="n"/>
      <c r="G3" s="2" t="inlineStr">
        <is>
          <t>Handle missing values</t>
        </is>
      </c>
    </row>
    <row r="4">
      <c r="A4" s="2" t="inlineStr">
        <is>
          <t xml:space="preserve">LAHORE </t>
        </is>
      </c>
      <c r="B4" s="2">
        <f>TRIM(A4)</f>
        <v/>
      </c>
      <c r="C4" s="2">
        <f>UPPER(A4)</f>
        <v/>
      </c>
      <c r="D4" s="2">
        <f>LOWER(A4)</f>
        <v/>
      </c>
      <c r="E4" s="2">
        <f>PROPER(A4)</f>
        <v/>
      </c>
      <c r="F4" s="2" t="n"/>
      <c r="G4" s="2" t="inlineStr">
        <is>
          <t>Standardize text</t>
        </is>
      </c>
    </row>
    <row r="5">
      <c r="A5" s="2" t="inlineStr">
        <is>
          <t>Karachi</t>
        </is>
      </c>
      <c r="B5" s="2">
        <f>TRIM(A5)</f>
        <v/>
      </c>
      <c r="C5" s="2">
        <f>UPPER(A5)</f>
        <v/>
      </c>
      <c r="D5" s="2">
        <f>LOWER(A5)</f>
        <v/>
      </c>
      <c r="E5" s="2">
        <f>PROPER(A5)</f>
        <v/>
      </c>
      <c r="F5" s="2" t="n"/>
      <c r="G5" s="2" t="inlineStr">
        <is>
          <t>Check data types</t>
        </is>
      </c>
    </row>
    <row r="6">
      <c r="A6" s="2" t="inlineStr">
        <is>
          <t xml:space="preserve"> ISLAMABAD</t>
        </is>
      </c>
      <c r="B6" s="2">
        <f>TRIM(A6)</f>
        <v/>
      </c>
      <c r="C6" s="2">
        <f>UPPER(A6)</f>
        <v/>
      </c>
      <c r="D6" s="2">
        <f>LOWER(A6)</f>
        <v/>
      </c>
      <c r="E6" s="2">
        <f>PROPER(A6)</f>
        <v/>
      </c>
      <c r="F6" s="2" t="n"/>
      <c r="G6" s="2" t="inlineStr">
        <is>
          <t>Check outliers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4" t="inlineStr">
        <is>
          <t>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DAY</t>
        </is>
      </c>
      <c r="E1" s="4" t="inlineStr">
        <is>
          <t>Month Name</t>
        </is>
      </c>
    </row>
    <row r="2">
      <c r="A2" s="5" t="inlineStr">
        <is>
          <t>2026-01-03</t>
        </is>
      </c>
      <c r="B2" s="2">
        <f>YEAR(A2)</f>
        <v/>
      </c>
      <c r="C2" s="2">
        <f>MONTH(A2)</f>
        <v/>
      </c>
      <c r="D2" s="2">
        <f>DAY(A2)</f>
        <v/>
      </c>
      <c r="E2" s="2">
        <f>TEXT(A2,"mmmm")</f>
        <v/>
      </c>
    </row>
    <row r="3">
      <c r="A3" s="5" t="inlineStr">
        <is>
          <t>2026-01-08</t>
        </is>
      </c>
      <c r="B3" s="2">
        <f>YEAR(A3)</f>
        <v/>
      </c>
      <c r="C3" s="2">
        <f>MONTH(A3)</f>
        <v/>
      </c>
      <c r="D3" s="2">
        <f>DAY(A3)</f>
        <v/>
      </c>
      <c r="E3" s="2">
        <f>TEXT(A3,"mmmm")</f>
        <v/>
      </c>
    </row>
    <row r="4">
      <c r="A4" s="5" t="inlineStr">
        <is>
          <t>2026-01-15</t>
        </is>
      </c>
      <c r="B4" s="2">
        <f>YEAR(A4)</f>
        <v/>
      </c>
      <c r="C4" s="2">
        <f>MONTH(A4)</f>
        <v/>
      </c>
      <c r="D4" s="2">
        <f>DAY(A4)</f>
        <v/>
      </c>
      <c r="E4" s="2">
        <f>TEXT(A4,"mmmm")</f>
        <v/>
      </c>
    </row>
    <row r="5">
      <c r="A5" s="5" t="inlineStr">
        <is>
          <t>2026-02-02</t>
        </is>
      </c>
      <c r="B5" s="2">
        <f>YEAR(A5)</f>
        <v/>
      </c>
      <c r="C5" s="2">
        <f>MONTH(A5)</f>
        <v/>
      </c>
      <c r="D5" s="2">
        <f>DAY(A5)</f>
        <v/>
      </c>
      <c r="E5" s="2">
        <f>TEXT(A5,"mmmm")</f>
        <v/>
      </c>
    </row>
    <row r="6">
      <c r="A6" s="5" t="inlineStr">
        <is>
          <t>2026-02-11</t>
        </is>
      </c>
      <c r="B6" s="2">
        <f>YEAR(A6)</f>
        <v/>
      </c>
      <c r="C6" s="2">
        <f>MONTH(A6)</f>
        <v/>
      </c>
      <c r="D6" s="2">
        <f>DAY(A6)</f>
        <v/>
      </c>
      <c r="E6" s="2">
        <f>TEXT(A6,"mmmm")</f>
        <v/>
      </c>
    </row>
    <row r="7">
      <c r="A7" s="5" t="inlineStr">
        <is>
          <t>2026-02-19</t>
        </is>
      </c>
      <c r="B7" s="2">
        <f>YEAR(A7)</f>
        <v/>
      </c>
      <c r="C7" s="2">
        <f>MONTH(A7)</f>
        <v/>
      </c>
      <c r="D7" s="2">
        <f>DAY(A7)</f>
        <v/>
      </c>
      <c r="E7" s="2">
        <f>TEXT(A7,"mmmm")</f>
        <v/>
      </c>
    </row>
    <row r="8">
      <c r="A8" s="5" t="inlineStr">
        <is>
          <t>2026-03-04</t>
        </is>
      </c>
      <c r="B8" s="2">
        <f>YEAR(A8)</f>
        <v/>
      </c>
      <c r="C8" s="2">
        <f>MONTH(A8)</f>
        <v/>
      </c>
      <c r="D8" s="2">
        <f>DAY(A8)</f>
        <v/>
      </c>
      <c r="E8" s="2">
        <f>TEXT(A8,"mmmm")</f>
        <v/>
      </c>
    </row>
    <row r="9">
      <c r="A9" s="5" t="inlineStr">
        <is>
          <t>2026-03-12</t>
        </is>
      </c>
      <c r="B9" s="2">
        <f>YEAR(A9)</f>
        <v/>
      </c>
      <c r="C9" s="2">
        <f>MONTH(A9)</f>
        <v/>
      </c>
      <c r="D9" s="2">
        <f>DAY(A9)</f>
        <v/>
      </c>
      <c r="E9" s="2">
        <f>TEXT(A9,"mmmm")</f>
        <v/>
      </c>
    </row>
    <row r="10">
      <c r="A10" s="5" t="inlineStr">
        <is>
          <t>2026-03-20</t>
        </is>
      </c>
      <c r="B10" s="2">
        <f>YEAR(A10)</f>
        <v/>
      </c>
      <c r="C10" s="2">
        <f>MONTH(A10)</f>
        <v/>
      </c>
      <c r="D10" s="2">
        <f>DAY(A10)</f>
        <v/>
      </c>
      <c r="E10" s="2">
        <f>TEXT(A10,"mmmm")</f>
        <v/>
      </c>
    </row>
    <row r="11">
      <c r="A11" s="5" t="inlineStr">
        <is>
          <t>2026-04-05</t>
        </is>
      </c>
      <c r="B11" s="2">
        <f>YEAR(A11)</f>
        <v/>
      </c>
      <c r="C11" s="2">
        <f>MONTH(A11)</f>
        <v/>
      </c>
      <c r="D11" s="2">
        <f>DAY(A11)</f>
        <v/>
      </c>
      <c r="E11" s="2">
        <f>TEXT(A11,"mmmm")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</cols>
  <sheetData>
    <row r="1">
      <c r="A1" s="4" t="inlineStr">
        <is>
          <t>Employee</t>
        </is>
      </c>
      <c r="B1" s="4" t="inlineStr">
        <is>
          <t>Department</t>
        </is>
      </c>
      <c r="C1" s="4" t="inlineStr">
        <is>
          <t>Salary</t>
        </is>
      </c>
      <c r="D1" s="4" t="inlineStr">
        <is>
          <t>Experience</t>
        </is>
      </c>
    </row>
    <row r="2">
      <c r="A2" s="2" t="inlineStr">
        <is>
          <t>Ali</t>
        </is>
      </c>
      <c r="B2" s="2" t="inlineStr">
        <is>
          <t>IT</t>
        </is>
      </c>
      <c r="C2" s="2" t="n">
        <v>80000</v>
      </c>
      <c r="D2" s="2" t="n">
        <v>2</v>
      </c>
    </row>
    <row r="3">
      <c r="A3" s="2" t="inlineStr">
        <is>
          <t>Sara</t>
        </is>
      </c>
      <c r="B3" s="2" t="inlineStr">
        <is>
          <t>HR</t>
        </is>
      </c>
      <c r="C3" s="2" t="n">
        <v>70000</v>
      </c>
      <c r="D3" s="2" t="n">
        <v>3</v>
      </c>
    </row>
    <row r="4">
      <c r="A4" s="2" t="inlineStr">
        <is>
          <t>Ahmed</t>
        </is>
      </c>
      <c r="B4" s="2" t="inlineStr">
        <is>
          <t>IT</t>
        </is>
      </c>
      <c r="C4" s="2" t="n">
        <v>120000</v>
      </c>
      <c r="D4" s="2" t="n">
        <v>5</v>
      </c>
    </row>
    <row r="5">
      <c r="A5" s="2" t="inlineStr">
        <is>
          <t>Ayesha</t>
        </is>
      </c>
      <c r="B5" s="2" t="inlineStr">
        <is>
          <t>Marketing</t>
        </is>
      </c>
      <c r="C5" s="2" t="n">
        <v>90000</v>
      </c>
      <c r="D5" s="2" t="n">
        <v>4</v>
      </c>
    </row>
    <row r="6">
      <c r="A6" s="2" t="inlineStr">
        <is>
          <t>Hamza</t>
        </is>
      </c>
      <c r="B6" s="2" t="inlineStr">
        <is>
          <t>IT</t>
        </is>
      </c>
      <c r="C6" s="2" t="n">
        <v>100000</v>
      </c>
      <c r="D6" s="2" t="n">
        <v>3</v>
      </c>
    </row>
    <row r="7">
      <c r="A7" s="2" t="inlineStr">
        <is>
          <t>Zainab</t>
        </is>
      </c>
      <c r="B7" s="2" t="inlineStr">
        <is>
          <t>HR</t>
        </is>
      </c>
      <c r="C7" s="2" t="n">
        <v>75000</v>
      </c>
      <c r="D7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8" customWidth="1" min="4" max="4"/>
    <col width="20" customWidth="1" min="5" max="5"/>
  </cols>
  <sheetData>
    <row r="1">
      <c r="A1" s="7" t="inlineStr">
        <is>
          <t>Excel Analytics Dashboard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>
        <is>
          <t>KPI</t>
        </is>
      </c>
      <c r="B3" s="4" t="inlineStr">
        <is>
          <t>Value</t>
        </is>
      </c>
      <c r="C3" s="2" t="n"/>
      <c r="D3" s="4" t="inlineStr">
        <is>
          <t>City</t>
        </is>
      </c>
      <c r="E3" s="4" t="inlineStr">
        <is>
          <t>Sales</t>
        </is>
      </c>
    </row>
    <row r="4">
      <c r="A4" s="2" t="inlineStr">
        <is>
          <t>Total Sales</t>
        </is>
      </c>
      <c r="B4" s="6">
        <f>SUM('01_Raw_Sales'!G2:G11)</f>
        <v/>
      </c>
      <c r="C4" s="2" t="n"/>
      <c r="D4" s="2" t="inlineStr">
        <is>
          <t>Lahore</t>
        </is>
      </c>
      <c r="E4" s="6">
        <f>SUMIF('01_Raw_Sales'!F2:F11,D4,'01_Raw_Sales'!G2:G11)</f>
        <v/>
      </c>
    </row>
    <row r="5">
      <c r="A5" s="2" t="inlineStr">
        <is>
          <t>Total Profit</t>
        </is>
      </c>
      <c r="B5" s="6">
        <f>SUM('01_Raw_Sales'!H2:H11)</f>
        <v/>
      </c>
      <c r="C5" s="2" t="n"/>
      <c r="D5" s="2" t="inlineStr">
        <is>
          <t>Karachi</t>
        </is>
      </c>
      <c r="E5" s="6">
        <f>SUMIF('01_Raw_Sales'!F2:F11,D5,'01_Raw_Sales'!G2:G11)</f>
        <v/>
      </c>
    </row>
    <row r="6">
      <c r="A6" s="2" t="inlineStr">
        <is>
          <t>Average Order Value</t>
        </is>
      </c>
      <c r="B6" s="6">
        <f>AVERAGE('01_Raw_Sales'!G2:G11)</f>
        <v/>
      </c>
      <c r="C6" s="2" t="n"/>
      <c r="D6" s="2" t="inlineStr">
        <is>
          <t>Islamabad</t>
        </is>
      </c>
      <c r="E6" s="6">
        <f>SUMIF('01_Raw_Sales'!F2:F11,D6,'01_Raw_Sales'!G2:G11)</f>
        <v/>
      </c>
    </row>
    <row r="7">
      <c r="A7" s="2" t="inlineStr">
        <is>
          <t>Number of Orders</t>
        </is>
      </c>
      <c r="B7" s="6">
        <f>COUNT('01_Raw_Sales'!G2:G11)</f>
        <v/>
      </c>
      <c r="C7" s="2" t="n"/>
      <c r="D7" s="2" t="n"/>
      <c r="E7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</cols>
  <sheetData>
    <row r="1">
      <c r="A1" s="4" t="inlineStr">
        <is>
          <t>Step</t>
        </is>
      </c>
      <c r="B1" s="4" t="inlineStr">
        <is>
          <t>What to do</t>
        </is>
      </c>
      <c r="C1" s="4" t="inlineStr">
        <is>
          <t>Example</t>
        </is>
      </c>
    </row>
    <row r="2">
      <c r="A2" s="2" t="n">
        <v>1</v>
      </c>
      <c r="B2" s="2" t="inlineStr">
        <is>
          <t>Data → Get Data</t>
        </is>
      </c>
      <c r="C2" s="2" t="inlineStr">
        <is>
          <t>Import CSV/Excel files</t>
        </is>
      </c>
    </row>
    <row r="3">
      <c r="A3" s="2" t="n">
        <v>2</v>
      </c>
      <c r="B3" s="2" t="inlineStr">
        <is>
          <t>Transform Data</t>
        </is>
      </c>
      <c r="C3" s="2" t="inlineStr">
        <is>
          <t>Open Power Query Editor</t>
        </is>
      </c>
    </row>
    <row r="4">
      <c r="A4" s="2" t="n">
        <v>3</v>
      </c>
      <c r="B4" s="2" t="inlineStr">
        <is>
          <t>Clean</t>
        </is>
      </c>
      <c r="C4" s="2" t="inlineStr">
        <is>
          <t>Remove duplicates, trim text, replace values</t>
        </is>
      </c>
    </row>
    <row r="5">
      <c r="A5" s="2" t="n">
        <v>4</v>
      </c>
      <c r="B5" s="2" t="inlineStr">
        <is>
          <t>Transform</t>
        </is>
      </c>
      <c r="C5" s="2" t="inlineStr">
        <is>
          <t>Change data types, split/merge columns</t>
        </is>
      </c>
    </row>
    <row r="6">
      <c r="A6" s="2" t="n">
        <v>5</v>
      </c>
      <c r="B6" s="2" t="inlineStr">
        <is>
          <t>Combine</t>
        </is>
      </c>
      <c r="C6" s="2" t="inlineStr">
        <is>
          <t>Append monthly files or merge related tables</t>
        </is>
      </c>
    </row>
    <row r="7">
      <c r="A7" s="2" t="n">
        <v>6</v>
      </c>
      <c r="B7" s="2" t="inlineStr">
        <is>
          <t>Load</t>
        </is>
      </c>
      <c r="C7" s="2" t="inlineStr">
        <is>
          <t>Load clean data into Excel</t>
        </is>
      </c>
    </row>
    <row r="8">
      <c r="A8" s="2" t="n">
        <v>7</v>
      </c>
      <c r="B8" s="2" t="inlineStr">
        <is>
          <t>Refresh</t>
        </is>
      </c>
      <c r="C8" s="2" t="inlineStr">
        <is>
          <t>Use Refresh All when new data arrives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Practice Questions</t>
        </is>
      </c>
    </row>
    <row r="2">
      <c r="A2" s="2" t="n"/>
    </row>
    <row r="3">
      <c r="A3" s="2" t="inlineStr">
        <is>
          <t>1. Calculate total sales using SUM.</t>
        </is>
      </c>
    </row>
    <row r="4">
      <c r="A4" s="2" t="inlineStr">
        <is>
          <t>2. Calculate average sales using AVERAGE.</t>
        </is>
      </c>
    </row>
    <row r="5">
      <c r="A5" s="2" t="inlineStr">
        <is>
          <t>3. Find minimum and maximum sales.</t>
        </is>
      </c>
    </row>
    <row r="6">
      <c r="A6" s="2" t="inlineStr">
        <is>
          <t>4. Count the number of orders.</t>
        </is>
      </c>
    </row>
    <row r="7">
      <c r="A7" s="2" t="inlineStr">
        <is>
          <t>5. Calculate Lahore total sales using SUMIF.</t>
        </is>
      </c>
    </row>
    <row r="8">
      <c r="A8" s="2" t="inlineStr">
        <is>
          <t>6. Count Lahore orders using COUNTIF.</t>
        </is>
      </c>
    </row>
    <row r="9">
      <c r="A9" s="2" t="inlineStr">
        <is>
          <t>7. Calculate Lahore Laptop sales using SUMIFS.</t>
        </is>
      </c>
    </row>
    <row r="10">
      <c r="A10" s="2" t="inlineStr">
        <is>
          <t>8. Use IF to classify orders as High if Sales &gt;= 50000, otherwise Low.</t>
        </is>
      </c>
    </row>
    <row r="11">
      <c r="A11" s="2" t="inlineStr">
        <is>
          <t>9. Use XLOOKUP to return a product name from Product ID.</t>
        </is>
      </c>
    </row>
    <row r="12">
      <c r="A12" s="2" t="inlineStr">
        <is>
          <t>10. Clean the city column using TRIM/PROPER.</t>
        </is>
      </c>
    </row>
    <row r="13">
      <c r="A13" s="2" t="inlineStr">
        <is>
          <t>11. Extract year and month from the Date column.</t>
        </is>
      </c>
    </row>
    <row r="14">
      <c r="A14" s="2" t="inlineStr">
        <is>
          <t>12. Build a Pivot Table for city-wise sales.</t>
        </is>
      </c>
    </row>
    <row r="15">
      <c r="A15" s="2" t="inlineStr">
        <is>
          <t>13. Build a Pivot Chart for city-wise sales.</t>
        </is>
      </c>
    </row>
    <row r="16">
      <c r="A16" s="2" t="inlineStr">
        <is>
          <t>14. Create a one-page dashboard with at least 3 KPIs.</t>
        </is>
      </c>
    </row>
    <row r="17">
      <c r="A17" s="2" t="inlineStr">
        <is>
          <t>15. Write 3 business insights from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2026-09-06T15:14:00Z</dcterms:created>
  <dcterms:modified xmlns:dcterms="http://purl.org/dc/terms/" xmlns:xsi="http://www.w3.org/2001/XMLSchema-instance" xsi:type="dcterms:W3CDTF">2026-09-06T15:14:00Z</dcterms:modified>
</cp:coreProperties>
</file>